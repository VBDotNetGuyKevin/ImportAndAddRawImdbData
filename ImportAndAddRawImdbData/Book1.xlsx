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evin\Source\Repos\ImportAndAddRawImdbData\ImportAndAddRawImdbData\"/>
    </mc:Choice>
  </mc:AlternateContent>
  <xr:revisionPtr revIDLastSave="0" documentId="8_{85F25B1B-6686-4142-A028-6C917CFA5041}" xr6:coauthVersionLast="47" xr6:coauthVersionMax="47" xr10:uidLastSave="{00000000-0000-0000-0000-000000000000}"/>
  <bookViews>
    <workbookView xWindow="28800" yWindow="465" windowWidth="28500" windowHeight="10965" xr2:uid="{58DE12AC-F343-47AA-8F71-EB86B70BACF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9" i="2" l="1"/>
  <c r="E8" i="2"/>
  <c r="E7" i="2"/>
  <c r="E6" i="2"/>
  <c r="E5" i="2"/>
  <c r="X5" i="2" s="1"/>
  <c r="E4" i="2"/>
  <c r="X4" i="2" s="1"/>
  <c r="E3" i="2"/>
  <c r="X3" i="2" s="1"/>
  <c r="F9" i="2"/>
  <c r="F8" i="2"/>
  <c r="F7" i="2"/>
  <c r="F6" i="2"/>
  <c r="F5" i="2"/>
  <c r="F4" i="2"/>
  <c r="F3" i="2"/>
  <c r="K9" i="2"/>
  <c r="K8" i="2"/>
  <c r="K7" i="2"/>
  <c r="K6" i="2"/>
  <c r="K5" i="2"/>
  <c r="K4" i="2"/>
  <c r="K3" i="2"/>
  <c r="J9" i="2"/>
  <c r="J8" i="2"/>
  <c r="J7" i="2"/>
  <c r="J6" i="2"/>
  <c r="J5" i="2"/>
  <c r="J4" i="2"/>
  <c r="J3" i="2"/>
  <c r="C10" i="2"/>
  <c r="E10" i="2" s="1"/>
  <c r="H10" i="2"/>
  <c r="J10" i="2" s="1"/>
  <c r="Q13" i="1"/>
  <c r="R13" i="1" s="1"/>
  <c r="S13" i="1" s="1"/>
  <c r="Q12" i="1"/>
  <c r="R12" i="1" s="1"/>
  <c r="S12" i="1" s="1"/>
  <c r="Q7" i="1"/>
  <c r="R7" i="1" s="1"/>
  <c r="S7" i="1" s="1"/>
  <c r="B14" i="1"/>
  <c r="C13" i="1"/>
  <c r="D13" i="1" s="1"/>
  <c r="F13" i="1" s="1"/>
  <c r="G13" i="1" s="1"/>
  <c r="K13" i="1" s="1"/>
  <c r="C12" i="1"/>
  <c r="D12" i="1" s="1"/>
  <c r="C11" i="1"/>
  <c r="D11" i="1" s="1"/>
  <c r="F11" i="1" s="1"/>
  <c r="J11" i="1" s="1"/>
  <c r="C10" i="1"/>
  <c r="D10" i="1" s="1"/>
  <c r="C9" i="1"/>
  <c r="D9" i="1" s="1"/>
  <c r="F9" i="1" s="1"/>
  <c r="J9" i="1" s="1"/>
  <c r="C8" i="1"/>
  <c r="D8" i="1" s="1"/>
  <c r="C7" i="1"/>
  <c r="D7" i="1" s="1"/>
  <c r="X9" i="2" l="1"/>
  <c r="X8" i="2"/>
  <c r="X7" i="2"/>
  <c r="X6" i="2"/>
  <c r="F10" i="2"/>
  <c r="K10" i="2"/>
  <c r="N9" i="2"/>
  <c r="X10" i="2"/>
  <c r="N3" i="2"/>
  <c r="N4" i="2"/>
  <c r="N6" i="2"/>
  <c r="N5" i="2"/>
  <c r="N7" i="2"/>
  <c r="N8" i="2"/>
  <c r="N10" i="2"/>
  <c r="U13" i="1"/>
  <c r="U12" i="1"/>
  <c r="U7" i="1"/>
  <c r="V7" i="1" s="1"/>
  <c r="Q8" i="1"/>
  <c r="Q9" i="1"/>
  <c r="R9" i="1" s="1"/>
  <c r="S9" i="1" s="1"/>
  <c r="Q10" i="1"/>
  <c r="R10" i="1" s="1"/>
  <c r="S10" i="1" s="1"/>
  <c r="Q11" i="1"/>
  <c r="R11" i="1" s="1"/>
  <c r="S11" i="1" s="1"/>
  <c r="J13" i="1"/>
  <c r="C14" i="1"/>
  <c r="F7" i="1"/>
  <c r="J7" i="1" s="1"/>
  <c r="AB7" i="1"/>
  <c r="AE7" i="1"/>
  <c r="AD7" i="1"/>
  <c r="D14" i="1"/>
  <c r="F8" i="1"/>
  <c r="J8" i="1" s="1"/>
  <c r="F12" i="1"/>
  <c r="J12" i="1" s="1"/>
  <c r="G9" i="1"/>
  <c r="G11" i="1"/>
  <c r="H13" i="1"/>
  <c r="L13" i="1" s="1"/>
  <c r="F10" i="1"/>
  <c r="V13" i="1" l="1"/>
  <c r="V12" i="1"/>
  <c r="W7" i="1"/>
  <c r="X7" i="1" s="1"/>
  <c r="U11" i="1"/>
  <c r="V11" i="1" s="1"/>
  <c r="U10" i="1"/>
  <c r="U9" i="1"/>
  <c r="V9" i="1" s="1"/>
  <c r="Q14" i="1"/>
  <c r="R8" i="1"/>
  <c r="G8" i="1"/>
  <c r="H8" i="1" s="1"/>
  <c r="L8" i="1" s="1"/>
  <c r="O14" i="1"/>
  <c r="H11" i="1"/>
  <c r="L11" i="1" s="1"/>
  <c r="K11" i="1"/>
  <c r="M13" i="1"/>
  <c r="H9" i="1"/>
  <c r="L9" i="1" s="1"/>
  <c r="K9" i="1"/>
  <c r="G10" i="1"/>
  <c r="K10" i="1" s="1"/>
  <c r="J10" i="1"/>
  <c r="G12" i="1"/>
  <c r="F14" i="1"/>
  <c r="G7" i="1"/>
  <c r="W13" i="1" l="1"/>
  <c r="X13" i="1" s="1"/>
  <c r="W12" i="1"/>
  <c r="X12" i="1" s="1"/>
  <c r="V10" i="1"/>
  <c r="W10" i="1" s="1"/>
  <c r="W11" i="1"/>
  <c r="X11" i="1" s="1"/>
  <c r="W9" i="1"/>
  <c r="X9" i="1" s="1"/>
  <c r="S8" i="1"/>
  <c r="R14" i="1"/>
  <c r="M11" i="1"/>
  <c r="K8" i="1"/>
  <c r="M8" i="1" s="1"/>
  <c r="M9" i="1"/>
  <c r="H12" i="1"/>
  <c r="L12" i="1" s="1"/>
  <c r="K12" i="1"/>
  <c r="H10" i="1"/>
  <c r="L10" i="1" s="1"/>
  <c r="M10" i="1" s="1"/>
  <c r="J14" i="1"/>
  <c r="H7" i="1"/>
  <c r="L7" i="1" s="1"/>
  <c r="K7" i="1"/>
  <c r="G14" i="1"/>
  <c r="H14" i="1" s="1"/>
  <c r="X10" i="1" l="1"/>
  <c r="L14" i="1"/>
  <c r="U8" i="1"/>
  <c r="V8" i="1" s="1"/>
  <c r="S14" i="1"/>
  <c r="M7" i="1"/>
  <c r="K14" i="1"/>
  <c r="M12" i="1"/>
  <c r="W8" i="1" l="1"/>
  <c r="U14" i="1"/>
  <c r="X8" i="1"/>
  <c r="M14" i="1"/>
  <c r="V14" i="1" l="1"/>
  <c r="W14" i="1" s="1"/>
  <c r="X14" i="1" s="1"/>
</calcChain>
</file>

<file path=xl/sharedStrings.xml><?xml version="1.0" encoding="utf-8"?>
<sst xmlns="http://schemas.openxmlformats.org/spreadsheetml/2006/main" count="82" uniqueCount="64">
  <si>
    <t># of seconds per commit</t>
  </si>
  <si>
    <t># of records per commit</t>
  </si>
  <si>
    <t>name.basics.tsv</t>
  </si>
  <si>
    <t>title.akas.tsv</t>
  </si>
  <si>
    <t>title.basics.tsv</t>
  </si>
  <si>
    <t>title.crew.tsv</t>
  </si>
  <si>
    <t>title.episode.tsv</t>
  </si>
  <si>
    <t>title.principals.tsv</t>
  </si>
  <si>
    <t>title.ratings.tsv</t>
  </si>
  <si>
    <t>Hours</t>
  </si>
  <si>
    <t>Minutes</t>
  </si>
  <si>
    <t>Seconds</t>
  </si>
  <si>
    <t># of Rows</t>
  </si>
  <si>
    <t>Hours
Seconds</t>
  </si>
  <si>
    <t>Minutes
Seconds</t>
  </si>
  <si>
    <t>Total
Seconds</t>
  </si>
  <si>
    <t>Files</t>
  </si>
  <si>
    <t># of
seconds</t>
  </si>
  <si>
    <t># of
commits</t>
  </si>
  <si>
    <t>I need to track time elapsed for each file</t>
  </si>
  <si>
    <t>I need to track the amount of time each transaction commitment takes to the Db and update time estimates accordingly</t>
  </si>
  <si>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NameBasicsEstimatedCommitCount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</si>
  <si>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TitleAkasEstimatedCommitCount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</si>
  <si>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TitleBasicsEstimatedCommitCount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</si>
  <si>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TitleCrewEstimatedCommitCount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</si>
  <si>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TitleEpisodeEstimatedCommitCount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</si>
  <si>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TitlePrincipalsEstimatedCommitCount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</si>
  <si>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TitleRatingsEstimatedCommitCount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</si>
  <si>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AllFilesEstimatedCommitCount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</si>
  <si>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NameBasicsEstimatedNumberOfSeconds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</si>
  <si>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TitleAkasEstimatedNumberOfSeconds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</si>
  <si>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TitleBasicsEstimatedNumberOfSeconds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</si>
  <si>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TitleCrewEstimatedNumberOfSeconds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</si>
  <si>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TitleEpisodeEstimatedNumberOfSeconds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</si>
  <si>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TitlePrincipalsEstimatedNumberOfSeconds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</si>
  <si>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TitleRatingsEstimatedNumberOfSeconds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</si>
  <si>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r>
      <t xml:space="preserve">    </t>
    </r>
    <r>
      <rPr>
        <sz val="9"/>
        <color rgb="FF0000FF"/>
        <rFont val="Cascadia Mono"/>
        <family val="3"/>
      </rPr>
      <t>Private</t>
    </r>
    <r>
      <rPr>
        <sz val="9"/>
        <color rgb="FF000000"/>
        <rFont val="Cascadia Mono"/>
        <family val="3"/>
      </rPr>
      <t xml:space="preserve"> </t>
    </r>
    <r>
      <rPr>
        <sz val="9"/>
        <color rgb="FF0000FF"/>
        <rFont val="Cascadia Mono"/>
        <family val="3"/>
      </rPr>
      <t>Property</t>
    </r>
    <r>
      <rPr>
        <sz val="9"/>
        <color rgb="FF000000"/>
        <rFont val="Cascadia Mono"/>
        <family val="3"/>
      </rPr>
      <t xml:space="preserve"> AllFilesEstimatedNumberOfSeconds </t>
    </r>
    <r>
      <rPr>
        <sz val="9"/>
        <color rgb="FF0000FF"/>
        <rFont val="Cascadia Mono"/>
        <family val="3"/>
      </rPr>
      <t>As</t>
    </r>
    <r>
      <rPr>
        <sz val="9"/>
        <color rgb="FF000000"/>
        <rFont val="Cascadia Mono"/>
        <family val="3"/>
      </rPr>
      <t xml:space="preserve"> </t>
    </r>
    <r>
      <rPr>
        <sz val="9"/>
        <color rgb="FF0000FF"/>
        <rFont val="Cascadia Mono"/>
        <family val="3"/>
      </rPr>
      <t>Integer</t>
    </r>
    <r>
      <rPr>
        <sz val="9"/>
        <color rgb="FF000000"/>
        <rFont val="Cascadia Mono"/>
        <family val="3"/>
      </rPr>
      <t xml:space="preserve"> = 0</t>
    </r>
  </si>
  <si>
    <t># of Rows
Commited</t>
  </si>
  <si>
    <t>Remaining</t>
  </si>
  <si>
    <t>Remaining
Time</t>
  </si>
  <si>
    <t>291.19 MB</t>
  </si>
  <si>
    <t>478.50 MB</t>
  </si>
  <si>
    <t>212.87 MB</t>
  </si>
  <si>
    <t>78.19 MB</t>
  </si>
  <si>
    <t>51.29 MB</t>
  </si>
  <si>
    <t>734.84 MB</t>
  </si>
  <si>
    <t>8.11 MB</t>
  </si>
  <si>
    <t>291.52 MB</t>
  </si>
  <si>
    <t>480.22 MB</t>
  </si>
  <si>
    <t>213.14 MB</t>
  </si>
  <si>
    <t>78.27 MB</t>
  </si>
  <si>
    <t>51.35 MB</t>
  </si>
  <si>
    <t>735.74 MB</t>
  </si>
  <si>
    <t>8.13 MB</t>
  </si>
  <si>
    <t>Decompressed
Size in Bytes</t>
  </si>
  <si>
    <t>Compressed
File Size</t>
  </si>
  <si>
    <t>Compressed
Size in Bytes</t>
  </si>
  <si>
    <t>Decompressed
Size in MB/GB</t>
  </si>
  <si>
    <t>Compressed
Size in MB/GB</t>
  </si>
  <si>
    <t>Size in 
MB/GB</t>
  </si>
  <si>
    <t>Totals</t>
  </si>
  <si>
    <t>Add to the completed processing file message with the Elapsed Time for the specified file to upload to the Raw tables.</t>
  </si>
  <si>
    <t>I need to clear the Estimated Processing Time, Elapsed Time, and Estimated Time Remaining TextBoxes, along with "Currently Importing Archive File" TextBox and "7 of 7" TextBox when finished loading all data to IMDB Raw Tables</t>
  </si>
  <si>
    <t>I need to save the INCREASED TimeOut setting when a TimeOut occurs during the execution of #4 scripts. I should save the previous (and current) timeout settings for each of the 26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</si>
</sst>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4" x14ac:knownFonts="1">
    <font>
      <sz val="11"/>
      <color theme="1"/>
      <name val="Aptos Narrow"/>
      <family val="2"/>
      <scheme val="minor"/>
    </font>
    <font>
      <b/>
      <sz val="11"/>
      <color theme="1"/>
      <name val="Aptos Narrow"/>
      <family val="2"/>
      <scheme val="minor"/>
    </font>
    <font>
      <sz val="9"/>
      <color rgb="FF000000"/>
      <name val="Cascadia Mono"/>
      <family val="3"/>
    </font>
    <font>
      <sz val="9"/>
      <color rgb="FF0000FF"/>
      <name val="Cascadia Mono"/>
      <family val="3"/>
    </font>
  </fonts>
  <fills count="2">
    <fill>
      <patternFill patternType="none"/>
    </fill>
    <fill>
      <patternFill patternType="gray125"/>
    </fill>
  </fills>
  <borders count="27">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dotted">
        <color auto="1"/>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style="thin">
        <color auto="1"/>
      </right>
      <top style="thin">
        <color auto="1"/>
      </top>
      <bottom style="dotted">
        <color auto="1"/>
      </bottom>
      <diagonal/>
    </border>
    <border>
      <left/>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right/>
      <top style="dotted">
        <color auto="1"/>
      </top>
      <bottom style="thin">
        <color auto="1"/>
      </bottom>
      <diagonal/>
    </border>
    <border>
      <left style="thin">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1">
    <xf numFmtId="0" fontId="0" fillId="0" borderId="0" xfId="0"/>
    <xf numFmtId="3" fontId="0" fillId="0" borderId="0" xfId="0" applyNumberFormat="1"/>
    <xf numFmtId="164" fontId="0" fillId="0" borderId="0" xfId="0" applyNumberFormat="1"/>
    <xf numFmtId="0" fontId="0" fillId="0" borderId="1" xfId="0" applyBorder="1"/>
    <xf numFmtId="0" fontId="0" fillId="0" borderId="0" xfId="0" applyAlignment="1">
      <alignment wrapText="1"/>
    </xf>
    <xf numFmtId="0" fontId="0" fillId="0" borderId="0" xfId="0" applyAlignment="1">
      <alignment horizontal="right" wrapText="1"/>
    </xf>
    <xf numFmtId="0" fontId="0" fillId="0" borderId="5" xfId="0" applyBorder="1"/>
    <xf numFmtId="0" fontId="0" fillId="0" borderId="6" xfId="0" applyBorder="1"/>
    <xf numFmtId="3" fontId="0" fillId="0" borderId="7" xfId="0" applyNumberFormat="1" applyBorder="1"/>
    <xf numFmtId="3" fontId="0" fillId="0" borderId="8" xfId="0" applyNumberFormat="1" applyBorder="1"/>
    <xf numFmtId="3" fontId="0" fillId="0" borderId="9" xfId="0" applyNumberFormat="1" applyBorder="1"/>
    <xf numFmtId="0" fontId="0" fillId="0" borderId="10" xfId="0" applyBorder="1"/>
    <xf numFmtId="3" fontId="0" fillId="0" borderId="11" xfId="0" applyNumberFormat="1" applyBorder="1"/>
    <xf numFmtId="3" fontId="0" fillId="0" borderId="12" xfId="0" applyNumberFormat="1" applyBorder="1"/>
    <xf numFmtId="3" fontId="0" fillId="0" borderId="10" xfId="0" applyNumberFormat="1" applyBorder="1"/>
    <xf numFmtId="0" fontId="0" fillId="0" borderId="11" xfId="0" applyBorder="1"/>
    <xf numFmtId="0" fontId="0" fillId="0" borderId="12" xfId="0" applyBorder="1"/>
    <xf numFmtId="3" fontId="0" fillId="0" borderId="13" xfId="0" applyNumberFormat="1" applyBorder="1"/>
    <xf numFmtId="0" fontId="0" fillId="0" borderId="14" xfId="0" applyBorder="1"/>
    <xf numFmtId="3" fontId="0" fillId="0" borderId="15" xfId="0" applyNumberFormat="1" applyBorder="1"/>
    <xf numFmtId="3" fontId="0" fillId="0" borderId="16" xfId="0" applyNumberFormat="1" applyBorder="1"/>
    <xf numFmtId="3" fontId="0" fillId="0" borderId="14" xfId="0" applyNumberFormat="1" applyBorder="1"/>
    <xf numFmtId="0" fontId="0" fillId="0" borderId="15" xfId="0" applyBorder="1"/>
    <xf numFmtId="0" fontId="0" fillId="0" borderId="16" xfId="0" applyBorder="1"/>
    <xf numFmtId="3" fontId="0" fillId="0" borderId="17" xfId="0" applyNumberFormat="1" applyBorder="1"/>
    <xf numFmtId="0" fontId="0" fillId="0" borderId="18" xfId="0" applyBorder="1"/>
    <xf numFmtId="3" fontId="0" fillId="0" borderId="19" xfId="0" applyNumberFormat="1" applyBorder="1"/>
    <xf numFmtId="3" fontId="0" fillId="0" borderId="20" xfId="0" applyNumberFormat="1" applyBorder="1"/>
    <xf numFmtId="3" fontId="0" fillId="0" borderId="18" xfId="0" applyNumberFormat="1" applyBorder="1"/>
    <xf numFmtId="0" fontId="0" fillId="0" borderId="19" xfId="0" applyBorder="1"/>
    <xf numFmtId="0" fontId="0" fillId="0" borderId="20" xfId="0" applyBorder="1"/>
    <xf numFmtId="3" fontId="0" fillId="0" borderId="21" xfId="0" applyNumberFormat="1" applyBorder="1"/>
    <xf numFmtId="0" fontId="1" fillId="0" borderId="1" xfId="0" applyFont="1" applyBorder="1"/>
    <xf numFmtId="0" fontId="0" fillId="0" borderId="1" xfId="0" applyBorder="1" applyAlignment="1">
      <alignment horizontal="center" wrapText="1"/>
    </xf>
    <xf numFmtId="0" fontId="0" fillId="0" borderId="1" xfId="0" applyBorder="1" applyAlignment="1">
      <alignment horizontal="center"/>
    </xf>
    <xf numFmtId="0" fontId="2" fillId="0" borderId="0" xfId="0" applyFont="1" applyAlignment="1">
      <alignment vertical="center"/>
    </xf>
    <xf numFmtId="0" fontId="0" fillId="0" borderId="0" xfId="0" applyAlignment="1">
      <alignment vertical="center"/>
    </xf>
    <xf numFmtId="0" fontId="0" fillId="0" borderId="3" xfId="0" applyBorder="1"/>
    <xf numFmtId="0" fontId="0" fillId="0" borderId="5" xfId="0" applyBorder="1" applyAlignment="1">
      <alignment horizontal="center"/>
    </xf>
    <xf numFmtId="0" fontId="0" fillId="0" borderId="6" xfId="0" applyBorder="1" applyAlignment="1">
      <alignment horizontal="center" wrapText="1"/>
    </xf>
    <xf numFmtId="0" fontId="0" fillId="0" borderId="0" xfId="0" applyAlignment="1">
      <alignment horizontal="center"/>
    </xf>
    <xf numFmtId="0" fontId="0" fillId="0" borderId="0" xfId="0" applyAlignment="1">
      <alignment horizontal="right"/>
    </xf>
    <xf numFmtId="0" fontId="0" fillId="0" borderId="2" xfId="0" applyBorder="1"/>
    <xf numFmtId="3" fontId="0" fillId="0" borderId="3" xfId="0" applyNumberFormat="1" applyBorder="1"/>
    <xf numFmtId="4" fontId="0" fillId="0" borderId="3" xfId="0" applyNumberFormat="1" applyBorder="1"/>
    <xf numFmtId="3" fontId="0" fillId="0" borderId="3" xfId="0" applyNumberFormat="1" applyBorder="1" applyAlignment="1">
      <alignment horizontal="right"/>
    </xf>
    <xf numFmtId="4" fontId="0" fillId="0" borderId="3" xfId="0" applyNumberFormat="1" applyBorder="1" applyAlignment="1">
      <alignment horizontal="right"/>
    </xf>
    <xf numFmtId="0" fontId="0" fillId="0" borderId="4" xfId="0" applyBorder="1" applyAlignment="1">
      <alignment horizontal="right"/>
    </xf>
    <xf numFmtId="0" fontId="0" fillId="0" borderId="23" xfId="0" applyBorder="1"/>
    <xf numFmtId="4" fontId="0" fillId="0" borderId="0" xfId="0" applyNumberFormat="1"/>
    <xf numFmtId="3" fontId="0" fillId="0" borderId="0" xfId="0" applyNumberFormat="1" applyAlignment="1">
      <alignment horizontal="right"/>
    </xf>
    <xf numFmtId="4" fontId="0" fillId="0" borderId="0" xfId="0" applyNumberFormat="1" applyAlignment="1">
      <alignment horizontal="right"/>
    </xf>
    <xf numFmtId="0" fontId="0" fillId="0" borderId="24" xfId="0" applyBorder="1" applyAlignment="1">
      <alignment horizontal="right"/>
    </xf>
    <xf numFmtId="3" fontId="0" fillId="0" borderId="1" xfId="0" applyNumberFormat="1" applyBorder="1"/>
    <xf numFmtId="4" fontId="0" fillId="0" borderId="1" xfId="0" applyNumberFormat="1" applyBorder="1"/>
    <xf numFmtId="3" fontId="0" fillId="0" borderId="1" xfId="0" applyNumberFormat="1" applyBorder="1" applyAlignment="1">
      <alignment horizontal="right"/>
    </xf>
    <xf numFmtId="4" fontId="0" fillId="0" borderId="1" xfId="0" applyNumberFormat="1" applyBorder="1" applyAlignment="1">
      <alignment horizontal="right"/>
    </xf>
    <xf numFmtId="0" fontId="0" fillId="0" borderId="6" xfId="0" applyBorder="1" applyAlignment="1">
      <alignment horizontal="right"/>
    </xf>
    <xf numFmtId="0" fontId="1" fillId="0" borderId="0" xfId="0" applyFont="1" applyAlignment="1">
      <alignment wrapText="1"/>
    </xf>
    <xf numFmtId="0" fontId="1" fillId="0" borderId="0" xfId="0" applyFont="1" applyAlignment="1">
      <alignment horizontal="right" wrapText="1"/>
    </xf>
    <xf numFmtId="3" fontId="1" fillId="0" borderId="22" xfId="0" applyNumberFormat="1" applyFont="1" applyBorder="1"/>
    <xf numFmtId="4" fontId="1" fillId="0" borderId="25" xfId="0" applyNumberFormat="1" applyFont="1" applyBorder="1"/>
    <xf numFmtId="0" fontId="1" fillId="0" borderId="26" xfId="0" applyFont="1" applyBorder="1"/>
    <xf numFmtId="3" fontId="1" fillId="0" borderId="22" xfId="0" applyNumberFormat="1" applyFont="1" applyBorder="1" applyAlignment="1">
      <alignment horizontal="right"/>
    </xf>
    <xf numFmtId="4" fontId="1" fillId="0" borderId="25" xfId="0" applyNumberFormat="1" applyFont="1" applyBorder="1" applyAlignment="1">
      <alignment horizontal="right"/>
    </xf>
    <xf numFmtId="0" fontId="1" fillId="0" borderId="22" xfId="0" applyFont="1" applyBorder="1" applyAlignment="1">
      <alignment horizontal="righ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0" borderId="0" xfId="0" applyFont="1" applyAlignment="1">
      <alignment horizontal="right" wrapText="1"/>
    </xf>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E7A8-4675-4B70-8242-7F12FA055035}">
  <dimension ref="A1:AE47"/>
  <sheetViews>
    <sheetView tabSelected="1" workbookViewId="0">
      <selection activeCell="A21" sqref="A21"/>
    </sheetView>
  </sheetViews>
  <sheetFormatPr defaultRowHeight="15" x14ac:dyDescent="0.25"/>
  <cols>
    <col min="1" max="1" width="22.85546875" bestFit="1" customWidth="1"/>
    <col min="2" max="2" width="11.140625" bestFit="1" customWidth="1"/>
    <col min="3" max="3" width="8.7109375" bestFit="1" customWidth="1"/>
    <col min="4" max="4" width="8.42578125" bestFit="1" customWidth="1"/>
    <col min="5" max="5" width="2.42578125" customWidth="1"/>
    <col min="6" max="6" width="6.28515625" bestFit="1" customWidth="1"/>
    <col min="7" max="7" width="8" bestFit="1" customWidth="1"/>
    <col min="8" max="8" width="8.42578125" bestFit="1" customWidth="1"/>
    <col min="9" max="9" width="2.42578125" customWidth="1"/>
    <col min="14" max="14" width="2.42578125" customWidth="1"/>
    <col min="15" max="15" width="11.140625" bestFit="1" customWidth="1"/>
    <col min="16" max="16" width="2.42578125" customWidth="1"/>
    <col min="17" max="17" width="11.140625" customWidth="1"/>
    <col min="20" max="20" width="2.42578125" customWidth="1"/>
    <col min="24" max="24" width="10.42578125" bestFit="1" customWidth="1"/>
  </cols>
  <sheetData>
    <row r="1" spans="1:31" x14ac:dyDescent="0.25">
      <c r="A1" t="s">
        <v>0</v>
      </c>
    </row>
    <row r="2" spans="1:31" x14ac:dyDescent="0.25">
      <c r="A2">
        <v>4</v>
      </c>
    </row>
    <row r="4" spans="1:31" x14ac:dyDescent="0.25">
      <c r="A4" t="s">
        <v>1</v>
      </c>
    </row>
    <row r="5" spans="1:31" x14ac:dyDescent="0.25">
      <c r="A5" s="1">
        <v>10000</v>
      </c>
      <c r="Q5" s="66" t="s">
        <v>38</v>
      </c>
      <c r="R5" s="67"/>
      <c r="S5" s="68"/>
      <c r="U5" s="66" t="s">
        <v>38</v>
      </c>
      <c r="V5" s="67"/>
      <c r="W5" s="68"/>
    </row>
    <row r="6" spans="1:31" ht="30" x14ac:dyDescent="0.25">
      <c r="A6" s="32" t="s">
        <v>16</v>
      </c>
      <c r="B6" s="34" t="s">
        <v>12</v>
      </c>
      <c r="C6" s="33" t="s">
        <v>18</v>
      </c>
      <c r="D6" s="33" t="s">
        <v>17</v>
      </c>
      <c r="E6" s="3"/>
      <c r="F6" s="3" t="s">
        <v>9</v>
      </c>
      <c r="G6" s="3" t="s">
        <v>10</v>
      </c>
      <c r="H6" s="3" t="s">
        <v>11</v>
      </c>
      <c r="I6" s="3"/>
      <c r="J6" s="33" t="s">
        <v>13</v>
      </c>
      <c r="K6" s="33" t="s">
        <v>14</v>
      </c>
      <c r="L6" s="34" t="s">
        <v>11</v>
      </c>
      <c r="M6" s="33" t="s">
        <v>15</v>
      </c>
      <c r="N6" s="3"/>
      <c r="O6" s="33" t="s">
        <v>37</v>
      </c>
      <c r="P6" s="3"/>
      <c r="Q6" s="38" t="s">
        <v>12</v>
      </c>
      <c r="R6" s="33" t="s">
        <v>18</v>
      </c>
      <c r="S6" s="39" t="s">
        <v>17</v>
      </c>
      <c r="T6" s="3"/>
      <c r="U6" s="6" t="s">
        <v>9</v>
      </c>
      <c r="V6" s="3" t="s">
        <v>10</v>
      </c>
      <c r="W6" s="7" t="s">
        <v>11</v>
      </c>
      <c r="X6" s="33" t="s">
        <v>39</v>
      </c>
      <c r="Z6" t="s">
        <v>9</v>
      </c>
      <c r="AA6" t="s">
        <v>10</v>
      </c>
      <c r="AB6" t="s">
        <v>11</v>
      </c>
    </row>
    <row r="7" spans="1:31" x14ac:dyDescent="0.25">
      <c r="A7" s="11" t="s">
        <v>2</v>
      </c>
      <c r="B7" s="12">
        <v>15464013</v>
      </c>
      <c r="C7" s="15">
        <f t="shared" ref="C7:C13" si="0">IF(MOD($B7,$A$5)&lt;&gt;0,QUOTIENT($B7,$A$5)+1,QUOTIENT($B7,$A$5))</f>
        <v>1547</v>
      </c>
      <c r="D7" s="13">
        <f t="shared" ref="D7:D13" si="1">$C7*$A$2</f>
        <v>6188</v>
      </c>
      <c r="E7" s="8"/>
      <c r="F7" s="15">
        <f t="shared" ref="F7:F14" si="2">QUOTIENT($D7,(60*60))</f>
        <v>1</v>
      </c>
      <c r="G7" s="11">
        <f t="shared" ref="G7:G14" si="3">QUOTIENT($D7,60)-($F7*60)</f>
        <v>43</v>
      </c>
      <c r="H7" s="16">
        <f t="shared" ref="H7:H14" si="4">$D7-($F7*60*60)-($G7*60)</f>
        <v>8</v>
      </c>
      <c r="I7" s="8"/>
      <c r="J7" s="12">
        <f t="shared" ref="J7:J13" si="5">F7*60*60</f>
        <v>3600</v>
      </c>
      <c r="K7" s="14">
        <f>G7*60</f>
        <v>2580</v>
      </c>
      <c r="L7" s="13">
        <f>H7</f>
        <v>8</v>
      </c>
      <c r="M7" s="17">
        <f>SUM(J7:L7)</f>
        <v>6188</v>
      </c>
      <c r="N7" s="8"/>
      <c r="O7" s="17"/>
      <c r="P7" s="8"/>
      <c r="Q7" s="12">
        <f>$B7-$O7</f>
        <v>15464013</v>
      </c>
      <c r="R7" s="14">
        <f>IF(MOD($Q7,$A$5)&lt;&gt;0,QUOTIENT($Q7,$A$5)+1,QUOTIENT($Q7,$A$5))</f>
        <v>1547</v>
      </c>
      <c r="S7" s="13">
        <f>$R7*$A$2</f>
        <v>6188</v>
      </c>
      <c r="T7" s="8"/>
      <c r="U7" s="15">
        <f>QUOTIENT($S7,(60*60))</f>
        <v>1</v>
      </c>
      <c r="V7" s="11">
        <f>QUOTIENT($S7,60)-($U7*60)</f>
        <v>43</v>
      </c>
      <c r="W7" s="16">
        <f>$S7-($U7*60*60)-($V7*60)</f>
        <v>8</v>
      </c>
      <c r="X7" s="40" t="str">
        <f t="shared" ref="X7:X14" si="6">_xlfn.CONCAT($U7,":",IF($V7&lt;10,"0",""),$V7,":",IF($W7&lt;10,"0",""),$W7)</f>
        <v>1:43:08</v>
      </c>
      <c r="AB7" s="2">
        <f>TIME(,,$D7)</f>
        <v>7.1620370370370376E-2</v>
      </c>
      <c r="AD7">
        <f>D7/(60*60)</f>
        <v>1.7188888888888889</v>
      </c>
      <c r="AE7">
        <f>MOD(D7,(60*60))</f>
        <v>2588</v>
      </c>
    </row>
    <row r="8" spans="1:31" x14ac:dyDescent="0.25">
      <c r="A8" s="18" t="s">
        <v>3</v>
      </c>
      <c r="B8" s="19">
        <v>58273183</v>
      </c>
      <c r="C8" s="22">
        <f t="shared" si="0"/>
        <v>5828</v>
      </c>
      <c r="D8" s="20">
        <f t="shared" si="1"/>
        <v>23312</v>
      </c>
      <c r="E8" s="9"/>
      <c r="F8" s="22">
        <f t="shared" si="2"/>
        <v>6</v>
      </c>
      <c r="G8" s="18">
        <f t="shared" si="3"/>
        <v>28</v>
      </c>
      <c r="H8" s="23">
        <f t="shared" si="4"/>
        <v>32</v>
      </c>
      <c r="I8" s="9"/>
      <c r="J8" s="19">
        <f t="shared" si="5"/>
        <v>21600</v>
      </c>
      <c r="K8" s="21">
        <f t="shared" ref="K8:K13" si="7">G8*60</f>
        <v>1680</v>
      </c>
      <c r="L8" s="20">
        <f t="shared" ref="L8:L13" si="8">H8</f>
        <v>32</v>
      </c>
      <c r="M8" s="24">
        <f t="shared" ref="M8:M13" si="9">SUM(J8:L8)</f>
        <v>23312</v>
      </c>
      <c r="N8" s="9"/>
      <c r="O8" s="24">
        <v>900000</v>
      </c>
      <c r="P8" s="9"/>
      <c r="Q8" s="19">
        <f>$B8-$O8</f>
        <v>57373183</v>
      </c>
      <c r="R8" s="21">
        <f t="shared" ref="R8:R13" si="10">IF(MOD($Q8,$A$5)&lt;&gt;0,QUOTIENT($Q8,$A$5)+1,QUOTIENT($Q8,$A$5))</f>
        <v>5738</v>
      </c>
      <c r="S8" s="20">
        <f t="shared" ref="S8:S13" si="11">$R8*$A$2</f>
        <v>22952</v>
      </c>
      <c r="T8" s="9"/>
      <c r="U8" s="22">
        <f t="shared" ref="U8:U13" si="12">QUOTIENT($S8,(60*60))</f>
        <v>6</v>
      </c>
      <c r="V8" s="18">
        <f t="shared" ref="V8:V13" si="13">QUOTIENT($S8,60)-($U8*60)</f>
        <v>22</v>
      </c>
      <c r="W8" s="23">
        <f t="shared" ref="W8:W13" si="14">$S8-($U8*60*60)-($V8*60)</f>
        <v>32</v>
      </c>
      <c r="X8" s="40" t="str">
        <f t="shared" si="6"/>
        <v>6:22:32</v>
      </c>
    </row>
    <row r="9" spans="1:31" x14ac:dyDescent="0.25">
      <c r="A9" s="18" t="s">
        <v>4</v>
      </c>
      <c r="B9" s="19">
        <v>12621168</v>
      </c>
      <c r="C9" s="22">
        <f t="shared" si="0"/>
        <v>1263</v>
      </c>
      <c r="D9" s="20">
        <f t="shared" si="1"/>
        <v>5052</v>
      </c>
      <c r="E9" s="9"/>
      <c r="F9" s="22">
        <f t="shared" si="2"/>
        <v>1</v>
      </c>
      <c r="G9" s="18">
        <f t="shared" si="3"/>
        <v>24</v>
      </c>
      <c r="H9" s="23">
        <f t="shared" si="4"/>
        <v>12</v>
      </c>
      <c r="I9" s="9"/>
      <c r="J9" s="19">
        <f t="shared" si="5"/>
        <v>3600</v>
      </c>
      <c r="K9" s="21">
        <f t="shared" si="7"/>
        <v>1440</v>
      </c>
      <c r="L9" s="20">
        <f t="shared" si="8"/>
        <v>12</v>
      </c>
      <c r="M9" s="24">
        <f t="shared" si="9"/>
        <v>5052</v>
      </c>
      <c r="N9" s="9"/>
      <c r="O9" s="24"/>
      <c r="P9" s="9"/>
      <c r="Q9" s="19">
        <f>$B9-$O9</f>
        <v>12621168</v>
      </c>
      <c r="R9" s="21">
        <f t="shared" si="10"/>
        <v>1263</v>
      </c>
      <c r="S9" s="20">
        <f t="shared" si="11"/>
        <v>5052</v>
      </c>
      <c r="T9" s="9"/>
      <c r="U9" s="22">
        <f t="shared" si="12"/>
        <v>1</v>
      </c>
      <c r="V9" s="18">
        <f t="shared" si="13"/>
        <v>24</v>
      </c>
      <c r="W9" s="23">
        <f t="shared" si="14"/>
        <v>12</v>
      </c>
      <c r="X9" s="40" t="str">
        <f t="shared" si="6"/>
        <v>1:24:12</v>
      </c>
    </row>
    <row r="10" spans="1:31" x14ac:dyDescent="0.25">
      <c r="A10" s="18" t="s">
        <v>5</v>
      </c>
      <c r="B10" s="19">
        <v>12620239</v>
      </c>
      <c r="C10" s="22">
        <f t="shared" si="0"/>
        <v>1263</v>
      </c>
      <c r="D10" s="20">
        <f t="shared" si="1"/>
        <v>5052</v>
      </c>
      <c r="E10" s="9"/>
      <c r="F10" s="22">
        <f t="shared" si="2"/>
        <v>1</v>
      </c>
      <c r="G10" s="18">
        <f t="shared" si="3"/>
        <v>24</v>
      </c>
      <c r="H10" s="23">
        <f t="shared" si="4"/>
        <v>12</v>
      </c>
      <c r="I10" s="9"/>
      <c r="J10" s="19">
        <f t="shared" si="5"/>
        <v>3600</v>
      </c>
      <c r="K10" s="21">
        <f t="shared" si="7"/>
        <v>1440</v>
      </c>
      <c r="L10" s="20">
        <f t="shared" si="8"/>
        <v>12</v>
      </c>
      <c r="M10" s="24">
        <f t="shared" si="9"/>
        <v>5052</v>
      </c>
      <c r="N10" s="9"/>
      <c r="O10" s="24"/>
      <c r="P10" s="9"/>
      <c r="Q10" s="19">
        <f>$B10-$O10</f>
        <v>12620239</v>
      </c>
      <c r="R10" s="21">
        <f t="shared" si="10"/>
        <v>1263</v>
      </c>
      <c r="S10" s="20">
        <f t="shared" si="11"/>
        <v>5052</v>
      </c>
      <c r="T10" s="9"/>
      <c r="U10" s="22">
        <f t="shared" si="12"/>
        <v>1</v>
      </c>
      <c r="V10" s="18">
        <f t="shared" si="13"/>
        <v>24</v>
      </c>
      <c r="W10" s="23">
        <f t="shared" si="14"/>
        <v>12</v>
      </c>
      <c r="X10" s="40" t="str">
        <f t="shared" si="6"/>
        <v>1:24:12</v>
      </c>
    </row>
    <row r="11" spans="1:31" x14ac:dyDescent="0.25">
      <c r="A11" s="18" t="s">
        <v>6</v>
      </c>
      <c r="B11" s="19">
        <v>9751486</v>
      </c>
      <c r="C11" s="22">
        <f t="shared" si="0"/>
        <v>976</v>
      </c>
      <c r="D11" s="20">
        <f t="shared" si="1"/>
        <v>3904</v>
      </c>
      <c r="E11" s="9"/>
      <c r="F11" s="22">
        <f t="shared" si="2"/>
        <v>1</v>
      </c>
      <c r="G11" s="18">
        <f t="shared" si="3"/>
        <v>5</v>
      </c>
      <c r="H11" s="23">
        <f t="shared" si="4"/>
        <v>4</v>
      </c>
      <c r="I11" s="9"/>
      <c r="J11" s="19">
        <f t="shared" si="5"/>
        <v>3600</v>
      </c>
      <c r="K11" s="21">
        <f t="shared" si="7"/>
        <v>300</v>
      </c>
      <c r="L11" s="20">
        <f t="shared" si="8"/>
        <v>4</v>
      </c>
      <c r="M11" s="24">
        <f t="shared" si="9"/>
        <v>3904</v>
      </c>
      <c r="N11" s="9"/>
      <c r="O11" s="24"/>
      <c r="P11" s="9"/>
      <c r="Q11" s="19">
        <f t="shared" ref="Q11:Q13" si="15">$B11-$O11</f>
        <v>9751486</v>
      </c>
      <c r="R11" s="21">
        <f t="shared" si="10"/>
        <v>976</v>
      </c>
      <c r="S11" s="20">
        <f t="shared" si="11"/>
        <v>3904</v>
      </c>
      <c r="T11" s="9"/>
      <c r="U11" s="22">
        <f t="shared" si="12"/>
        <v>1</v>
      </c>
      <c r="V11" s="18">
        <f t="shared" si="13"/>
        <v>5</v>
      </c>
      <c r="W11" s="23">
        <f t="shared" si="14"/>
        <v>4</v>
      </c>
      <c r="X11" s="40" t="str">
        <f t="shared" si="6"/>
        <v>1:05:04</v>
      </c>
    </row>
    <row r="12" spans="1:31" x14ac:dyDescent="0.25">
      <c r="A12" s="18" t="s">
        <v>7</v>
      </c>
      <c r="B12" s="19">
        <v>100321296</v>
      </c>
      <c r="C12" s="22">
        <f t="shared" si="0"/>
        <v>10033</v>
      </c>
      <c r="D12" s="20">
        <f t="shared" si="1"/>
        <v>40132</v>
      </c>
      <c r="E12" s="9"/>
      <c r="F12" s="22">
        <f t="shared" si="2"/>
        <v>11</v>
      </c>
      <c r="G12" s="18">
        <f t="shared" si="3"/>
        <v>8</v>
      </c>
      <c r="H12" s="23">
        <f t="shared" si="4"/>
        <v>52</v>
      </c>
      <c r="I12" s="9"/>
      <c r="J12" s="19">
        <f t="shared" si="5"/>
        <v>39600</v>
      </c>
      <c r="K12" s="21">
        <f t="shared" si="7"/>
        <v>480</v>
      </c>
      <c r="L12" s="20">
        <f t="shared" si="8"/>
        <v>52</v>
      </c>
      <c r="M12" s="24">
        <f t="shared" si="9"/>
        <v>40132</v>
      </c>
      <c r="N12" s="9"/>
      <c r="O12" s="24"/>
      <c r="P12" s="9"/>
      <c r="Q12" s="19">
        <f t="shared" si="15"/>
        <v>100321296</v>
      </c>
      <c r="R12" s="21">
        <f t="shared" si="10"/>
        <v>10033</v>
      </c>
      <c r="S12" s="20">
        <f t="shared" si="11"/>
        <v>40132</v>
      </c>
      <c r="T12" s="9"/>
      <c r="U12" s="22">
        <f t="shared" si="12"/>
        <v>11</v>
      </c>
      <c r="V12" s="18">
        <f t="shared" si="13"/>
        <v>8</v>
      </c>
      <c r="W12" s="23">
        <f t="shared" si="14"/>
        <v>52</v>
      </c>
      <c r="X12" s="40" t="str">
        <f t="shared" si="6"/>
        <v>11:08:52</v>
      </c>
    </row>
    <row r="13" spans="1:31" x14ac:dyDescent="0.25">
      <c r="A13" s="25" t="s">
        <v>8</v>
      </c>
      <c r="B13" s="26">
        <v>1691399</v>
      </c>
      <c r="C13" s="29">
        <f t="shared" si="0"/>
        <v>170</v>
      </c>
      <c r="D13" s="27">
        <f t="shared" si="1"/>
        <v>680</v>
      </c>
      <c r="E13" s="10"/>
      <c r="F13" s="29">
        <f t="shared" si="2"/>
        <v>0</v>
      </c>
      <c r="G13" s="25">
        <f t="shared" si="3"/>
        <v>11</v>
      </c>
      <c r="H13" s="30">
        <f t="shared" si="4"/>
        <v>20</v>
      </c>
      <c r="I13" s="10"/>
      <c r="J13" s="26">
        <f t="shared" si="5"/>
        <v>0</v>
      </c>
      <c r="K13" s="28">
        <f t="shared" si="7"/>
        <v>660</v>
      </c>
      <c r="L13" s="27">
        <f t="shared" si="8"/>
        <v>20</v>
      </c>
      <c r="M13" s="31">
        <f t="shared" si="9"/>
        <v>680</v>
      </c>
      <c r="N13" s="10"/>
      <c r="O13" s="31"/>
      <c r="P13" s="10"/>
      <c r="Q13" s="26">
        <f t="shared" si="15"/>
        <v>1691399</v>
      </c>
      <c r="R13" s="28">
        <f t="shared" si="10"/>
        <v>170</v>
      </c>
      <c r="S13" s="27">
        <f t="shared" si="11"/>
        <v>680</v>
      </c>
      <c r="T13" s="10"/>
      <c r="U13" s="29">
        <f t="shared" si="12"/>
        <v>0</v>
      </c>
      <c r="V13" s="25">
        <f t="shared" si="13"/>
        <v>11</v>
      </c>
      <c r="W13" s="30">
        <f t="shared" si="14"/>
        <v>20</v>
      </c>
      <c r="X13" s="40" t="str">
        <f t="shared" si="6"/>
        <v>0:11:20</v>
      </c>
    </row>
    <row r="14" spans="1:31" x14ac:dyDescent="0.25">
      <c r="B14" s="1">
        <f>SUM(B7:B13)</f>
        <v>210742784</v>
      </c>
      <c r="C14" s="1">
        <f>SUM(C7:C13)</f>
        <v>21080</v>
      </c>
      <c r="D14" s="1">
        <f>SUM(D7:D13)</f>
        <v>84320</v>
      </c>
      <c r="E14" s="1"/>
      <c r="F14">
        <f t="shared" si="2"/>
        <v>23</v>
      </c>
      <c r="G14">
        <f t="shared" si="3"/>
        <v>25</v>
      </c>
      <c r="H14">
        <f t="shared" si="4"/>
        <v>20</v>
      </c>
      <c r="I14" s="1"/>
      <c r="J14" s="1">
        <f>SUM(J7:J13)</f>
        <v>75600</v>
      </c>
      <c r="K14" s="1">
        <f>SUM(K7:K13)</f>
        <v>8580</v>
      </c>
      <c r="L14" s="1">
        <f>SUM(L7:L13)</f>
        <v>140</v>
      </c>
      <c r="M14" s="1">
        <f>SUM(M7:M13)</f>
        <v>84320</v>
      </c>
      <c r="N14" s="1"/>
      <c r="O14" s="1">
        <f>SUM(O7:O13)</f>
        <v>900000</v>
      </c>
      <c r="P14" s="1"/>
      <c r="Q14" s="1">
        <f>SUM(Q7:Q13)</f>
        <v>209842784</v>
      </c>
      <c r="R14" s="1">
        <f>SUM(R7:R13)</f>
        <v>20990</v>
      </c>
      <c r="S14" s="1">
        <f>SUM(S7:S13)</f>
        <v>83960</v>
      </c>
      <c r="T14" s="1"/>
      <c r="U14" s="1">
        <f>QUOTIENT($S14,(60*60))</f>
        <v>23</v>
      </c>
      <c r="V14" s="1">
        <f>QUOTIENT($S14,60)-($U14*60)</f>
        <v>19</v>
      </c>
      <c r="W14" s="37">
        <f>$S14-($U14*60*60)-($V14*60)</f>
        <v>20</v>
      </c>
      <c r="X14" s="40" t="str">
        <f t="shared" si="6"/>
        <v>23:19:20</v>
      </c>
    </row>
    <row r="17" spans="1:1" x14ac:dyDescent="0.25">
      <c r="A17" t="s">
        <v>61</v>
      </c>
    </row>
    <row r="19" spans="1:1" x14ac:dyDescent="0.25">
      <c r="A19" t="s">
        <v>62</v>
      </c>
    </row>
    <row r="21" spans="1:1" x14ac:dyDescent="0.25">
      <c r="A21" t="s">
        <v>63</v>
      </c>
    </row>
    <row r="26" spans="1:1" x14ac:dyDescent="0.25">
      <c r="A26" t="s">
        <v>19</v>
      </c>
    </row>
    <row r="27" spans="1:1" x14ac:dyDescent="0.25">
      <c r="A27" t="s">
        <v>20</v>
      </c>
    </row>
    <row r="31" spans="1:1" x14ac:dyDescent="0.25">
      <c r="A31" s="35" t="s">
        <v>21</v>
      </c>
    </row>
    <row r="32" spans="1:1" x14ac:dyDescent="0.25">
      <c r="A32" s="35" t="s">
        <v>22</v>
      </c>
    </row>
    <row r="33" spans="1:1" x14ac:dyDescent="0.25">
      <c r="A33" s="35" t="s">
        <v>23</v>
      </c>
    </row>
    <row r="34" spans="1:1" x14ac:dyDescent="0.25">
      <c r="A34" s="35" t="s">
        <v>24</v>
      </c>
    </row>
    <row r="35" spans="1:1" x14ac:dyDescent="0.25">
      <c r="A35" s="35" t="s">
        <v>25</v>
      </c>
    </row>
    <row r="36" spans="1:1" x14ac:dyDescent="0.25">
      <c r="A36" s="35" t="s">
        <v>26</v>
      </c>
    </row>
    <row r="37" spans="1:1" x14ac:dyDescent="0.25">
      <c r="A37" s="35" t="s">
        <v>27</v>
      </c>
    </row>
    <row r="38" spans="1:1" x14ac:dyDescent="0.25">
      <c r="A38" s="35" t="s">
        <v>28</v>
      </c>
    </row>
    <row r="39" spans="1:1" x14ac:dyDescent="0.25">
      <c r="A39" s="36"/>
    </row>
    <row r="40" spans="1:1" x14ac:dyDescent="0.25">
      <c r="A40" s="35" t="s">
        <v>29</v>
      </c>
    </row>
    <row r="41" spans="1:1" x14ac:dyDescent="0.25">
      <c r="A41" s="35" t="s">
        <v>30</v>
      </c>
    </row>
    <row r="42" spans="1:1" x14ac:dyDescent="0.25">
      <c r="A42" s="35" t="s">
        <v>31</v>
      </c>
    </row>
    <row r="43" spans="1:1" x14ac:dyDescent="0.25">
      <c r="A43" s="35" t="s">
        <v>32</v>
      </c>
    </row>
    <row r="44" spans="1:1" x14ac:dyDescent="0.25">
      <c r="A44" s="35" t="s">
        <v>33</v>
      </c>
    </row>
    <row r="45" spans="1:1" x14ac:dyDescent="0.25">
      <c r="A45" s="35" t="s">
        <v>34</v>
      </c>
    </row>
    <row r="46" spans="1:1" x14ac:dyDescent="0.25">
      <c r="A46" s="35" t="s">
        <v>35</v>
      </c>
    </row>
    <row r="47" spans="1:1" x14ac:dyDescent="0.25">
      <c r="A47" s="35" t="s">
        <v>36</v>
      </c>
    </row>
  </sheetData>
  <mergeCells count="2">
    <mergeCell ref="U5:W5"/>
    <mergeCell ref="Q5:S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5F84-A684-4059-93F8-2DB49A3AE52B}">
  <dimension ref="A2:AE10"/>
  <sheetViews>
    <sheetView workbookViewId="0">
      <selection activeCell="C10" sqref="C10"/>
    </sheetView>
  </sheetViews>
  <sheetFormatPr defaultRowHeight="15" x14ac:dyDescent="0.25"/>
  <cols>
    <col min="1" max="1" width="17" bestFit="1" customWidth="1"/>
    <col min="2" max="2" width="1.7109375" customWidth="1"/>
    <col min="3" max="3" width="12.7109375" bestFit="1" customWidth="1"/>
    <col min="4" max="4" width="1.7109375" customWidth="1"/>
    <col min="5" max="5" width="10.85546875" customWidth="1"/>
    <col min="6" max="6" width="3.7109375" bestFit="1" customWidth="1"/>
    <col min="7" max="7" width="1.7109375" customWidth="1"/>
    <col min="8" max="8" width="16.28515625" style="41" customWidth="1"/>
    <col min="9" max="9" width="1.7109375" customWidth="1"/>
    <col min="10" max="10" width="6.85546875" style="41" bestFit="1" customWidth="1"/>
    <col min="11" max="11" width="3.7109375" bestFit="1" customWidth="1"/>
    <col min="12" max="13" width="1.7109375" customWidth="1"/>
    <col min="14" max="14" width="16.7109375" style="41" customWidth="1"/>
    <col min="15" max="16" width="12.7109375" customWidth="1"/>
    <col min="19" max="19" width="12" bestFit="1" customWidth="1"/>
    <col min="21" max="21" width="1.7109375" customWidth="1"/>
    <col min="23" max="23" width="1.7109375" customWidth="1"/>
    <col min="24" max="24" width="9.7109375" style="41" bestFit="1" customWidth="1"/>
    <col min="25" max="25" width="1.7109375" customWidth="1"/>
    <col min="27" max="27" width="1.7109375" customWidth="1"/>
    <col min="31" max="31" width="1.7109375" customWidth="1"/>
  </cols>
  <sheetData>
    <row r="2" spans="1:31" ht="30" x14ac:dyDescent="0.25">
      <c r="B2" s="4"/>
      <c r="C2" s="58" t="s">
        <v>56</v>
      </c>
      <c r="D2" s="4"/>
      <c r="E2" s="69" t="s">
        <v>58</v>
      </c>
      <c r="F2" s="70"/>
      <c r="G2" s="4"/>
      <c r="H2" s="59" t="s">
        <v>54</v>
      </c>
      <c r="I2" s="4"/>
      <c r="J2" s="69" t="s">
        <v>59</v>
      </c>
      <c r="K2" s="70"/>
      <c r="L2" s="4"/>
      <c r="M2" s="4"/>
      <c r="N2" s="59" t="s">
        <v>57</v>
      </c>
      <c r="O2" s="4"/>
      <c r="P2" s="4"/>
      <c r="S2" s="4" t="s">
        <v>55</v>
      </c>
      <c r="U2" s="4"/>
      <c r="W2" s="4"/>
      <c r="X2" s="5"/>
      <c r="Y2" s="4"/>
      <c r="AA2" s="4"/>
      <c r="AE2" s="4"/>
    </row>
    <row r="3" spans="1:31" x14ac:dyDescent="0.25">
      <c r="A3" s="42" t="s">
        <v>2</v>
      </c>
      <c r="B3" s="43"/>
      <c r="C3" s="43">
        <v>306049643</v>
      </c>
      <c r="D3" s="43"/>
      <c r="E3" s="44">
        <f>IF($C3/(1024*1024)&gt;=1024,$C3/(1024*1024*1024),$C3/(1024*1024))</f>
        <v>291.87168407440186</v>
      </c>
      <c r="F3" s="37" t="str">
        <f>IF($C3/(1024*1024)&gt;=1024,"GB","MB")</f>
        <v>MB</v>
      </c>
      <c r="G3" s="43"/>
      <c r="H3" s="45">
        <v>955817467</v>
      </c>
      <c r="I3" s="43"/>
      <c r="J3" s="46">
        <f t="shared" ref="J3:J10" si="0">IF($H3/(1024*1024)&gt;=1024,$H3/(1024*1024*1024),$H3/(1024*1024))</f>
        <v>911.53856945037842</v>
      </c>
      <c r="K3" s="37" t="str">
        <f>IF($H3/(1024*1024)&gt;=1024,"GB","MB")</f>
        <v>MB</v>
      </c>
      <c r="L3" s="43"/>
      <c r="M3" s="43"/>
      <c r="N3" s="47" t="str">
        <f t="shared" ref="N3:N10" si="1">CONCATENATE(TEXT(J3,"###,###,###,##0.00")," ",K3)</f>
        <v>911.54 MB</v>
      </c>
      <c r="O3" s="1"/>
      <c r="P3" s="1"/>
      <c r="Q3" t="s">
        <v>40</v>
      </c>
      <c r="S3" t="s">
        <v>47</v>
      </c>
      <c r="U3" s="1"/>
      <c r="W3" s="1"/>
      <c r="X3" s="41" t="str">
        <f t="shared" ref="X3:X10" si="2">CONCATENATE(TEXT(E3,"###,###,###,##0.00")," ",F3)</f>
        <v>291.87 MB</v>
      </c>
      <c r="Y3" s="1"/>
      <c r="AA3" s="1"/>
      <c r="AE3" s="1"/>
    </row>
    <row r="4" spans="1:31" x14ac:dyDescent="0.25">
      <c r="A4" s="48" t="s">
        <v>3</v>
      </c>
      <c r="B4" s="1"/>
      <c r="C4" s="1">
        <v>504952445</v>
      </c>
      <c r="D4" s="1"/>
      <c r="E4" s="49">
        <f t="shared" ref="E4:E10" si="3">IF($C4/(1024*1024)&gt;=1024,$C4/(1024*1024*1024),$C4/(1024*1024))</f>
        <v>481.56017780303955</v>
      </c>
      <c r="F4" t="str">
        <f t="shared" ref="F4:F10" si="4">IF($C4/(1024*1024)&gt;=1024,"GB","MB")</f>
        <v>MB</v>
      </c>
      <c r="G4" s="1"/>
      <c r="H4" s="50">
        <v>2947119616</v>
      </c>
      <c r="I4" s="1"/>
      <c r="J4" s="51">
        <f t="shared" si="0"/>
        <v>2.7447190284729004</v>
      </c>
      <c r="K4" t="str">
        <f t="shared" ref="K4:K10" si="5">IF($H4/(1024*1024)&gt;=1024,"GB","MB")</f>
        <v>GB</v>
      </c>
      <c r="L4" s="1"/>
      <c r="M4" s="1"/>
      <c r="N4" s="52" t="str">
        <f t="shared" si="1"/>
        <v>2.74 GB</v>
      </c>
      <c r="O4" s="1"/>
      <c r="P4" s="1"/>
      <c r="Q4" t="s">
        <v>41</v>
      </c>
      <c r="S4" t="s">
        <v>48</v>
      </c>
      <c r="U4" s="1"/>
      <c r="W4" s="1"/>
      <c r="X4" s="41" t="str">
        <f t="shared" si="2"/>
        <v>481.56 MB</v>
      </c>
      <c r="Y4" s="1"/>
      <c r="AA4" s="1"/>
      <c r="AE4" s="1"/>
    </row>
    <row r="5" spans="1:31" x14ac:dyDescent="0.25">
      <c r="A5" s="48" t="s">
        <v>4</v>
      </c>
      <c r="B5" s="1"/>
      <c r="C5" s="1">
        <v>223786349</v>
      </c>
      <c r="D5" s="1"/>
      <c r="E5" s="49">
        <f t="shared" si="3"/>
        <v>213.41929340362549</v>
      </c>
      <c r="F5" t="str">
        <f t="shared" si="4"/>
        <v>MB</v>
      </c>
      <c r="G5" s="1"/>
      <c r="H5" s="50">
        <v>1094713297</v>
      </c>
      <c r="I5" s="1"/>
      <c r="J5" s="51">
        <f t="shared" si="0"/>
        <v>1.019531206227839</v>
      </c>
      <c r="K5" t="str">
        <f t="shared" si="5"/>
        <v>GB</v>
      </c>
      <c r="L5" s="1"/>
      <c r="M5" s="1"/>
      <c r="N5" s="52" t="str">
        <f t="shared" si="1"/>
        <v>1.02 GB</v>
      </c>
      <c r="O5" s="1"/>
      <c r="P5" s="1"/>
      <c r="Q5" t="s">
        <v>42</v>
      </c>
      <c r="S5" t="s">
        <v>49</v>
      </c>
      <c r="U5" s="1"/>
      <c r="W5" s="1"/>
      <c r="X5" s="41" t="str">
        <f t="shared" si="2"/>
        <v>213.42 MB</v>
      </c>
      <c r="Y5" s="1"/>
      <c r="AA5" s="1"/>
      <c r="AE5" s="1"/>
    </row>
    <row r="6" spans="1:31" x14ac:dyDescent="0.25">
      <c r="A6" s="48" t="s">
        <v>5</v>
      </c>
      <c r="B6" s="1"/>
      <c r="C6" s="1">
        <v>82166025</v>
      </c>
      <c r="D6" s="1"/>
      <c r="E6" s="49">
        <f t="shared" si="3"/>
        <v>78.359627723693848</v>
      </c>
      <c r="F6" t="str">
        <f t="shared" si="4"/>
        <v>MB</v>
      </c>
      <c r="G6" s="1"/>
      <c r="H6" s="50">
        <v>416279436</v>
      </c>
      <c r="I6" s="1"/>
      <c r="J6" s="51">
        <f t="shared" si="0"/>
        <v>396.9950065612793</v>
      </c>
      <c r="K6" t="str">
        <f t="shared" si="5"/>
        <v>MB</v>
      </c>
      <c r="L6" s="1"/>
      <c r="M6" s="1"/>
      <c r="N6" s="52" t="str">
        <f t="shared" si="1"/>
        <v>397.00 MB</v>
      </c>
      <c r="O6" s="1"/>
      <c r="P6" s="1"/>
      <c r="Q6" t="s">
        <v>43</v>
      </c>
      <c r="S6" t="s">
        <v>50</v>
      </c>
      <c r="U6" s="1"/>
      <c r="W6" s="1"/>
      <c r="X6" s="41" t="str">
        <f t="shared" si="2"/>
        <v>78.36 MB</v>
      </c>
      <c r="Y6" s="1"/>
      <c r="AA6" s="1"/>
      <c r="AE6" s="1"/>
    </row>
    <row r="7" spans="1:31" x14ac:dyDescent="0.25">
      <c r="A7" s="48" t="s">
        <v>6</v>
      </c>
      <c r="B7" s="1"/>
      <c r="C7" s="1">
        <v>53915994</v>
      </c>
      <c r="D7" s="1"/>
      <c r="E7" s="49">
        <f t="shared" si="3"/>
        <v>51.418298721313477</v>
      </c>
      <c r="F7" t="str">
        <f t="shared" si="4"/>
        <v>MB</v>
      </c>
      <c r="G7" s="1"/>
      <c r="H7" s="50">
        <v>256241414</v>
      </c>
      <c r="I7" s="1"/>
      <c r="J7" s="51">
        <f t="shared" si="0"/>
        <v>244.3708553314209</v>
      </c>
      <c r="K7" t="str">
        <f t="shared" si="5"/>
        <v>MB</v>
      </c>
      <c r="L7" s="1"/>
      <c r="M7" s="1"/>
      <c r="N7" s="52" t="str">
        <f t="shared" si="1"/>
        <v>244.37 MB</v>
      </c>
      <c r="O7" s="1"/>
      <c r="P7" s="1"/>
      <c r="Q7" t="s">
        <v>44</v>
      </c>
      <c r="S7" t="s">
        <v>51</v>
      </c>
      <c r="U7" s="1"/>
      <c r="W7" s="1"/>
      <c r="X7" s="41" t="str">
        <f t="shared" si="2"/>
        <v>51.42 MB</v>
      </c>
      <c r="Y7" s="1"/>
      <c r="AA7" s="1"/>
      <c r="AE7" s="1"/>
    </row>
    <row r="8" spans="1:31" x14ac:dyDescent="0.25">
      <c r="A8" s="48" t="s">
        <v>7</v>
      </c>
      <c r="B8" s="1"/>
      <c r="C8" s="1">
        <v>772251058</v>
      </c>
      <c r="D8" s="1"/>
      <c r="E8" s="49">
        <f t="shared" si="3"/>
        <v>736.47599983215332</v>
      </c>
      <c r="F8" t="str">
        <f t="shared" si="4"/>
        <v>MB</v>
      </c>
      <c r="G8" s="1"/>
      <c r="H8" s="50">
        <v>4483337022</v>
      </c>
      <c r="I8" s="1"/>
      <c r="J8" s="51">
        <f t="shared" si="0"/>
        <v>4.1754329781979322</v>
      </c>
      <c r="K8" t="str">
        <f t="shared" si="5"/>
        <v>GB</v>
      </c>
      <c r="L8" s="1"/>
      <c r="M8" s="1"/>
      <c r="N8" s="52" t="str">
        <f t="shared" si="1"/>
        <v>4.18 GB</v>
      </c>
      <c r="O8" s="1"/>
      <c r="P8" s="1"/>
      <c r="Q8" t="s">
        <v>45</v>
      </c>
      <c r="S8" t="s">
        <v>52</v>
      </c>
      <c r="U8" s="1"/>
      <c r="W8" s="1"/>
      <c r="X8" s="41" t="str">
        <f t="shared" si="2"/>
        <v>736.48 MB</v>
      </c>
      <c r="Y8" s="1"/>
      <c r="AA8" s="1"/>
      <c r="AE8" s="1"/>
    </row>
    <row r="9" spans="1:31" x14ac:dyDescent="0.25">
      <c r="A9" s="6" t="s">
        <v>8</v>
      </c>
      <c r="B9" s="53"/>
      <c r="C9" s="53">
        <v>8541863</v>
      </c>
      <c r="D9" s="53"/>
      <c r="E9" s="54">
        <f t="shared" si="3"/>
        <v>8.1461553573608398</v>
      </c>
      <c r="F9" s="3" t="str">
        <f t="shared" si="4"/>
        <v>MB</v>
      </c>
      <c r="G9" s="53"/>
      <c r="H9" s="55">
        <v>29527335</v>
      </c>
      <c r="I9" s="53"/>
      <c r="J9" s="56">
        <f t="shared" si="0"/>
        <v>28.15946102142334</v>
      </c>
      <c r="K9" s="3" t="str">
        <f t="shared" si="5"/>
        <v>MB</v>
      </c>
      <c r="L9" s="53"/>
      <c r="M9" s="53"/>
      <c r="N9" s="57" t="str">
        <f t="shared" si="1"/>
        <v>28.16 MB</v>
      </c>
      <c r="O9" s="1"/>
      <c r="P9" s="1"/>
      <c r="Q9" t="s">
        <v>46</v>
      </c>
      <c r="S9" t="s">
        <v>53</v>
      </c>
      <c r="U9" s="1"/>
      <c r="W9" s="1"/>
      <c r="X9" s="41" t="str">
        <f t="shared" si="2"/>
        <v>8.15 MB</v>
      </c>
      <c r="Y9" s="1"/>
      <c r="AA9" s="1"/>
      <c r="AE9" s="1"/>
    </row>
    <row r="10" spans="1:31" x14ac:dyDescent="0.25">
      <c r="A10" s="48" t="s">
        <v>60</v>
      </c>
      <c r="B10" s="1"/>
      <c r="C10" s="60">
        <f>SUM(C3:C9)</f>
        <v>1951663377</v>
      </c>
      <c r="D10" s="1"/>
      <c r="E10" s="61">
        <f t="shared" si="3"/>
        <v>1.8176281610503793</v>
      </c>
      <c r="F10" s="62" t="str">
        <f t="shared" si="4"/>
        <v>GB</v>
      </c>
      <c r="G10" s="1"/>
      <c r="H10" s="63">
        <f>SUM(H3:H9)</f>
        <v>10183035587</v>
      </c>
      <c r="I10" s="1"/>
      <c r="J10" s="64">
        <f t="shared" si="0"/>
        <v>9.4836909202858806</v>
      </c>
      <c r="K10" s="62" t="str">
        <f t="shared" si="5"/>
        <v>GB</v>
      </c>
      <c r="L10" s="1"/>
      <c r="M10" s="1"/>
      <c r="N10" s="65" t="str">
        <f t="shared" si="1"/>
        <v>9.48 GB</v>
      </c>
      <c r="O10" s="1"/>
      <c r="P10" s="1"/>
      <c r="U10" s="1"/>
      <c r="W10" s="1"/>
      <c r="X10" s="41" t="str">
        <f t="shared" si="2"/>
        <v>1.82 GB</v>
      </c>
      <c r="Y10" s="1"/>
      <c r="AA10" s="1"/>
      <c r="AE10" s="1"/>
    </row>
  </sheetData>
  <mergeCells count="2">
    <mergeCell ref="E2:F2"/>
    <mergeCell ref="J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Precht</dc:creator>
  <cp:lastModifiedBy>Kevin Precht</cp:lastModifiedBy>
  <dcterms:created xsi:type="dcterms:W3CDTF">2026-06-25T17:40:49Z</dcterms:created>
  <dcterms:modified xsi:type="dcterms:W3CDTF">2026-07-05T15:54:48Z</dcterms:modified>
</cp:coreProperties>
</file>